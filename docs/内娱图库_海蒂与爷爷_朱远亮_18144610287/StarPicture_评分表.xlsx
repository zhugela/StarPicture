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);[Red]\(0.00\)"/>
    <numFmt numFmtId="165" formatCode="0_);[Red]\(0\)"/>
  </numFmts>
  <fonts count="24">
    <font>
      <name val="宋体"/>
      <charset val="134"/>
      <color theme="1"/>
      <sz val="11"/>
      <scheme val="minor"/>
    </font>
    <font>
      <name val="宋体"/>
      <charset val="134"/>
      <sz val="11"/>
      <scheme val="minor"/>
    </font>
    <font>
      <name val="宋体"/>
      <charset val="134"/>
      <color rgb="FF7030A0"/>
      <sz val="11"/>
      <scheme val="minor"/>
    </font>
    <font>
      <name val="宋体"/>
      <charset val="134"/>
      <color rgb="FF000000"/>
      <sz val="10"/>
      <scheme val="minor"/>
    </font>
    <font>
      <name val="宋体"/>
      <charset val="134"/>
      <b val="1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1">
    <fill>
      <patternFill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AC5FB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BEC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14" borderId="9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10" applyAlignment="1">
      <alignment vertical="center"/>
    </xf>
    <xf numFmtId="0" fontId="11" fillId="0" borderId="10" applyAlignment="1">
      <alignment vertical="center"/>
    </xf>
    <xf numFmtId="0" fontId="12" fillId="0" borderId="11" applyAlignment="1">
      <alignment vertical="center"/>
    </xf>
    <xf numFmtId="0" fontId="12" fillId="0" borderId="0" applyAlignment="1">
      <alignment vertical="center"/>
    </xf>
    <xf numFmtId="0" fontId="13" fillId="15" borderId="12" applyAlignment="1">
      <alignment vertical="center"/>
    </xf>
    <xf numFmtId="0" fontId="14" fillId="16" borderId="13" applyAlignment="1">
      <alignment vertical="center"/>
    </xf>
    <xf numFmtId="0" fontId="15" fillId="16" borderId="12" applyAlignment="1">
      <alignment vertical="center"/>
    </xf>
    <xf numFmtId="0" fontId="16" fillId="17" borderId="14" applyAlignment="1">
      <alignment vertical="center"/>
    </xf>
    <xf numFmtId="0" fontId="17" fillId="0" borderId="15" applyAlignment="1">
      <alignment vertical="center"/>
    </xf>
    <xf numFmtId="0" fontId="18" fillId="0" borderId="16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6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3" fillId="37" borderId="0" applyAlignment="1">
      <alignment vertical="center"/>
    </xf>
    <xf numFmtId="0" fontId="23" fillId="8" borderId="0" applyAlignment="1">
      <alignment vertical="center"/>
    </xf>
    <xf numFmtId="0" fontId="22" fillId="38" borderId="0" applyAlignment="1">
      <alignment vertical="center"/>
    </xf>
    <xf numFmtId="0" fontId="22" fillId="12" borderId="0" applyAlignment="1">
      <alignment vertical="center"/>
    </xf>
    <xf numFmtId="0" fontId="23" fillId="39" borderId="0" applyAlignment="1">
      <alignment vertical="center"/>
    </xf>
    <xf numFmtId="0" fontId="23" fillId="5" borderId="0" applyAlignment="1">
      <alignment vertical="center"/>
    </xf>
    <xf numFmtId="0" fontId="22" fillId="4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0" fontId="0" fillId="0" borderId="3" pivotButton="0" quotePrefix="0" xfId="0"/>
    <xf numFmtId="164" fontId="0" fillId="4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top" wrapText="1"/>
    </xf>
    <xf numFmtId="0" fontId="0" fillId="6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7" borderId="4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164" fontId="0" fillId="8" borderId="4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/>
    </xf>
    <xf numFmtId="0" fontId="0" fillId="9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1" fillId="3" borderId="4" applyAlignment="1" pivotButton="0" quotePrefix="0" xfId="0">
      <alignment horizontal="left" vertical="top" wrapText="1"/>
    </xf>
    <xf numFmtId="0" fontId="0" fillId="0" borderId="8" pivotButton="0" quotePrefix="0" xfId="0"/>
    <xf numFmtId="0" fontId="2" fillId="6" borderId="4" applyAlignment="1" pivotButton="0" quotePrefix="0" xfId="0">
      <alignment horizontal="left" vertical="top" wrapText="1"/>
    </xf>
    <xf numFmtId="0" fontId="3" fillId="10" borderId="4" applyAlignment="1" pivotButton="0" quotePrefix="0" xfId="0">
      <alignment horizontal="left" vertical="center"/>
    </xf>
    <xf numFmtId="164" fontId="3" fillId="10" borderId="4" applyAlignment="1" pivotButton="0" quotePrefix="0" xfId="0">
      <alignment horizontal="left" vertical="center" wrapText="1"/>
    </xf>
    <xf numFmtId="49" fontId="3" fillId="11" borderId="4" applyAlignment="1" pivotButton="0" quotePrefix="0" xfId="0">
      <alignment horizontal="left" vertical="center"/>
    </xf>
    <xf numFmtId="164" fontId="3" fillId="7" borderId="4" applyAlignment="1" pivotButton="0" quotePrefix="0" xfId="0">
      <alignment horizontal="left" vertical="center"/>
    </xf>
    <xf numFmtId="49" fontId="3" fillId="12" borderId="4" applyAlignment="1" pivotButton="0" quotePrefix="0" xfId="0">
      <alignment horizontal="left" vertical="center"/>
    </xf>
    <xf numFmtId="165" fontId="3" fillId="10" borderId="4" applyAlignment="1" pivotButton="0" quotePrefix="0" xfId="0">
      <alignment horizontal="left" vertical="center"/>
    </xf>
    <xf numFmtId="165" fontId="3" fillId="7" borderId="4" applyAlignment="1" pivotButton="0" quotePrefix="0" xfId="0">
      <alignment horizontal="left" vertical="center"/>
    </xf>
    <xf numFmtId="0" fontId="3" fillId="7" borderId="4" applyAlignment="1" pivotButton="0" quotePrefix="0" xfId="0">
      <alignment horizontal="left" vertical="center" wrapText="1"/>
    </xf>
    <xf numFmtId="0" fontId="3" fillId="7" borderId="4" applyAlignment="1" pivotButton="0" quotePrefix="0" xfId="0">
      <alignment horizontal="left" vertical="center"/>
    </xf>
    <xf numFmtId="0" fontId="0" fillId="13" borderId="4" applyAlignment="1" pivotButton="0" quotePrefix="0" xfId="0">
      <alignment vertical="center"/>
    </xf>
    <xf numFmtId="164" fontId="0" fillId="9" borderId="4" applyAlignment="1" pivotButton="0" quotePrefix="0" xfId="0">
      <alignment vertical="center"/>
    </xf>
    <xf numFmtId="0" fontId="3" fillId="10" borderId="4" applyAlignment="1" pivotButton="0" quotePrefix="0" xfId="0">
      <alignment vertical="center"/>
    </xf>
    <xf numFmtId="164" fontId="3" fillId="10" borderId="4" applyAlignment="1" pivotButton="0" quotePrefix="0" xfId="0">
      <alignment horizontal="left" vertical="center"/>
    </xf>
    <xf numFmtId="0" fontId="4" fillId="13" borderId="0" applyAlignment="1" pivotButton="0" quotePrefix="0" xfId="0">
      <alignment horizontal="left" vertical="center"/>
    </xf>
    <xf numFmtId="49" fontId="3" fillId="11" borderId="4" applyAlignment="1" pivotButton="0" quotePrefix="0" xfId="0">
      <alignment horizontal="center" vertical="center"/>
    </xf>
    <xf numFmtId="0" fontId="4" fillId="13" borderId="0" applyAlignment="1" pivotButton="0" quotePrefix="0" xfId="0">
      <alignment vertical="center"/>
    </xf>
    <xf numFmtId="164" fontId="0" fillId="4" borderId="4" applyAlignment="1" pivotButton="0" quotePrefix="0" xfId="0">
      <alignment horizontal="center" vertical="center" wrapText="1"/>
    </xf>
    <xf numFmtId="164" fontId="0" fillId="8" borderId="4" applyAlignment="1" pivotButton="0" quotePrefix="0" xfId="0">
      <alignment horizontal="center" vertical="center" wrapText="1"/>
    </xf>
    <xf numFmtId="164" fontId="3" fillId="10" borderId="4" applyAlignment="1" pivotButton="0" quotePrefix="0" xfId="0">
      <alignment horizontal="left" vertical="center" wrapText="1"/>
    </xf>
    <xf numFmtId="164" fontId="3" fillId="7" borderId="4" applyAlignment="1" pivotButton="0" quotePrefix="0" xfId="0">
      <alignment horizontal="left" vertical="center"/>
    </xf>
    <xf numFmtId="165" fontId="3" fillId="10" borderId="4" applyAlignment="1" pivotButton="0" quotePrefix="0" xfId="0">
      <alignment horizontal="left" vertical="center"/>
    </xf>
    <xf numFmtId="165" fontId="3" fillId="7" borderId="4" applyAlignment="1" pivotButton="0" quotePrefix="0" xfId="0">
      <alignment horizontal="left" vertical="center"/>
    </xf>
    <xf numFmtId="164" fontId="0" fillId="9" borderId="4" applyAlignment="1" pivotButton="0" quotePrefix="0" xfId="0">
      <alignment vertical="center"/>
    </xf>
    <xf numFmtId="164" fontId="3" fillId="10" borderId="4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tabSelected="1" workbookViewId="0">
      <selection activeCell="AD8" sqref="AD8"/>
    </sheetView>
  </sheetViews>
  <sheetFormatPr baseColWidth="8" defaultColWidth="8.891666666666669" defaultRowHeight="13.5"/>
  <cols>
    <col width="5.66666666666667" customWidth="1" style="1" min="1" max="1"/>
    <col width="6.225" customWidth="1" style="1" min="2" max="2"/>
    <col width="8.108333333333331" customWidth="1" style="1" min="3" max="3"/>
    <col width="4.89166666666667" customWidth="1" style="1" min="4" max="4"/>
    <col width="5.89166666666667" customWidth="1" style="1" min="5" max="5"/>
    <col width="5.55833333333333" customWidth="1" style="1" min="6" max="6"/>
    <col width="8.891666666666669" customWidth="1" style="1" min="7" max="8"/>
    <col width="4.89166666666667" customWidth="1" style="1" min="9" max="15"/>
    <col width="4.33333333333333" customWidth="1" style="1" min="16" max="16"/>
    <col width="5.10833333333333" customWidth="1" style="1" min="17" max="17"/>
    <col width="5.44166666666667" customWidth="1" style="1" min="18" max="18"/>
    <col width="5.89166666666667" customWidth="1" style="1" min="19" max="19"/>
    <col width="6" customWidth="1" style="1" min="20" max="20"/>
    <col width="5.55833333333333" customWidth="1" style="1" min="21" max="21"/>
    <col width="5.89166666666667" customWidth="1" style="1" min="22" max="22"/>
    <col width="5.55833333333333" customWidth="1" style="1" min="23" max="23"/>
    <col width="8.891666666666669" customWidth="1" style="1" min="24" max="16384"/>
  </cols>
  <sheetData>
    <row r="1">
      <c r="A1" s="2" t="inlineStr">
        <is>
          <t>组长</t>
        </is>
      </c>
      <c r="B1" s="2" t="inlineStr">
        <is>
          <t>组员</t>
        </is>
      </c>
      <c r="C1" s="3" t="inlineStr">
        <is>
          <t>贡献度
（小组平均为1）</t>
        </is>
      </c>
      <c r="D1" s="4" t="inlineStr">
        <is>
          <t>测试文档质量</t>
        </is>
      </c>
      <c r="E1" s="5" t="n"/>
      <c r="F1" s="5" t="n"/>
      <c r="G1" s="36" t="inlineStr">
        <is>
          <t>测试文档分数
（40分）</t>
        </is>
      </c>
      <c r="H1" s="7" t="inlineStr">
        <is>
          <t>用例执行完成否</t>
        </is>
      </c>
      <c r="I1" s="8" t="inlineStr">
        <is>
          <t>测试类型</t>
        </is>
      </c>
      <c r="J1" s="9" t="n"/>
      <c r="K1" s="9" t="n"/>
      <c r="L1" s="9" t="n"/>
      <c r="M1" s="9" t="n"/>
      <c r="N1" s="9" t="n"/>
      <c r="O1" s="10" t="n"/>
      <c r="P1" s="11" t="inlineStr">
        <is>
          <t>用例数量</t>
        </is>
      </c>
      <c r="Q1" s="36" t="inlineStr">
        <is>
          <t>用例数量得分(15分）</t>
        </is>
      </c>
      <c r="R1" s="12" t="inlineStr">
        <is>
          <t>测试用例质量等级</t>
        </is>
      </c>
      <c r="S1" s="36" t="inlineStr">
        <is>
          <t>测试用例质量(15分）</t>
        </is>
      </c>
      <c r="T1" s="36" t="inlineStr">
        <is>
          <t>测试类型数量（20分）</t>
        </is>
      </c>
      <c r="U1" s="37" t="inlineStr">
        <is>
          <t>问题回答等级</t>
        </is>
      </c>
      <c r="V1" s="36" t="inlineStr">
        <is>
          <t>问题回答（10分）</t>
        </is>
      </c>
      <c r="W1" s="14" t="inlineStr">
        <is>
          <t>备注</t>
        </is>
      </c>
      <c r="X1" s="15" t="inlineStr">
        <is>
          <t>期末大作业最终得分</t>
        </is>
      </c>
    </row>
    <row r="2" ht="84" customHeight="1" s="1">
      <c r="A2" s="16" t="n"/>
      <c r="B2" s="16" t="n"/>
      <c r="C2" s="16" t="n"/>
      <c r="D2" s="17" t="inlineStr">
        <is>
          <t>测试计划（14分）</t>
        </is>
      </c>
      <c r="E2" s="17" t="inlineStr">
        <is>
          <t>测试说明（13分）</t>
        </is>
      </c>
      <c r="F2" s="17" t="inlineStr">
        <is>
          <t>测试报告（13分）</t>
        </is>
      </c>
      <c r="G2" s="18" t="n"/>
      <c r="H2" s="18" t="n"/>
      <c r="I2" s="19" t="inlineStr">
        <is>
          <t>功能用例数量</t>
        </is>
      </c>
      <c r="J2" s="19" t="inlineStr">
        <is>
          <t>性能用例数量</t>
        </is>
      </c>
      <c r="K2" s="19" t="inlineStr">
        <is>
          <t>接口用例数量</t>
        </is>
      </c>
      <c r="L2" s="19" t="inlineStr">
        <is>
          <t>安全用例数量</t>
        </is>
      </c>
      <c r="M2" s="19" t="inlineStr">
        <is>
          <t>自动化功能例数量</t>
        </is>
      </c>
      <c r="N2" s="19" t="inlineStr">
        <is>
          <t>单元用例数量</t>
        </is>
      </c>
      <c r="O2" s="19" t="inlineStr">
        <is>
          <t>兼容性用例数量</t>
        </is>
      </c>
      <c r="P2" s="18" t="n"/>
      <c r="Q2" s="18" t="n"/>
      <c r="R2" s="18" t="n"/>
      <c r="S2" s="18" t="n"/>
      <c r="T2" s="18" t="n"/>
      <c r="U2" s="18" t="n"/>
      <c r="V2" s="18" t="n"/>
      <c r="W2" s="18" t="n"/>
      <c r="X2" s="18" t="n"/>
    </row>
    <row r="3">
      <c r="A3" s="20" t="inlineStr">
        <is>
          <t>朱远亮</t>
        </is>
      </c>
      <c r="B3" s="20" t="inlineStr">
        <is>
          <t>朱远亮</t>
        </is>
      </c>
      <c r="C3" s="38" t="n">
        <v>1.1</v>
      </c>
      <c r="D3" s="22" t="n"/>
      <c r="E3" s="22" t="n"/>
      <c r="F3" s="22" t="n"/>
      <c r="G3" s="39">
        <f>IF(D3="优秀",14,IF(D3="中上",12,IF(D3="中等",10,IF(D3="中下",8,6))))+IF(E3="优秀",13,IF(E3="中上",11,IF(E3="中等",9,IF(E3="中下",7,5))))+IF(F3="优秀",13,IF(F3="中上",12,IF(F3="中等",9,IF(F3="中下",7,5))))</f>
        <v/>
      </c>
      <c r="H3" s="24" t="n">
        <v>29</v>
      </c>
      <c r="I3" s="40" t="n">
        <v>1</v>
      </c>
      <c r="J3" s="40" t="n">
        <v>1</v>
      </c>
      <c r="K3" s="40" t="n">
        <v>0</v>
      </c>
      <c r="L3" s="40" t="n">
        <v>0</v>
      </c>
      <c r="M3" s="40" t="n">
        <v>0</v>
      </c>
      <c r="N3" s="40" t="n">
        <v>0</v>
      </c>
      <c r="O3" s="40" t="n">
        <v>0</v>
      </c>
      <c r="P3" s="41">
        <f>SUM(I3:O3)</f>
        <v/>
      </c>
      <c r="Q3" s="27">
        <f>IF(P3&gt;=30,15,IF(P3&gt;=25,13,IF(P3&gt;=20,11,IF(P3&gt;=16,9,IF(P3&gt;=8,7,5)))))</f>
        <v/>
      </c>
      <c r="R3" s="22" t="n"/>
      <c r="S3" s="28">
        <f>IF(R3="优秀",15,IF(R3="中上",13,IF(R3="中等",11,IF(R3="中下",9,7))))</f>
        <v/>
      </c>
      <c r="T3" s="28">
        <f>IF((IF(VALUE(I3)&gt;0,1,0)+IF(VALUE(J3)&gt;0,1,0)+IF(VALUE(K3)&gt;0,1,0)+IF(VALUE(L3)&gt;0,1,0)+IF(VALUE(M3)&gt;0,1,0)+IF(VALUE(N3)&gt;0,1,0)+IF(VALUE(O3)&gt;0,1,0))*3&gt;20,20,(IF(VALUE(I3)&gt;0,1,0)+IF(VALUE(J3)&gt;0,1,0)+IF(VALUE(K3)&gt;0,1,0)+IF(VALUE(L3)&gt;0,1,0)+IF(VALUE(M3)&gt;0,1,0)+IF(VALUE(N3)&gt;0,1,0)+IF(VALUE(O3)&gt;0,1,0))*3)</f>
        <v/>
      </c>
      <c r="U3" s="22" t="n"/>
      <c r="V3" s="28">
        <f>IF(U3="优秀",10,IF(U3="中上",8,IF(U3="中等",6,IF(U3="中下",5,4))))</f>
        <v/>
      </c>
      <c r="W3" s="29" t="inlineStr">
        <is>
          <t>朱远亮 实际 31 条（功能+性能+接口+安全）</t>
        </is>
      </c>
      <c r="X3" s="42" t="inlineStr">
        <is>
          <t>朱远亮 实际 31 条（功能29+性能1+接口1+安全0）</t>
        </is>
      </c>
    </row>
    <row r="4">
      <c r="A4" s="31" t="n"/>
      <c r="B4" s="20" t="inlineStr">
        <is>
          <t>李冠燃</t>
        </is>
      </c>
      <c r="C4" s="43" t="n">
        <v>1</v>
      </c>
      <c r="D4" s="22" t="n"/>
      <c r="E4" s="22" t="n"/>
      <c r="F4" s="22" t="n"/>
      <c r="G4" s="39">
        <f>IF(D4="优秀",14,IF(D4="中上",12,IF(D4="中等",10,IF(D4="中下",8,6))))+IF(E4="优秀",13,IF(E4="中上",11,IF(E4="中等",9,IF(E4="中下",7,5))))+IF(F4="优秀",13,IF(F4="中上",12,IF(F4="中等",9,IF(F4="中下",7,5))))</f>
        <v/>
      </c>
      <c r="H4" s="24" t="inlineStr">
        <is>
          <t>是</t>
        </is>
      </c>
      <c r="I4" s="40" t="n">
        <v>39</v>
      </c>
      <c r="J4" s="40" t="n">
        <v>2</v>
      </c>
      <c r="K4" s="40" t="n">
        <v>1</v>
      </c>
      <c r="L4" s="40" t="n">
        <v>3</v>
      </c>
      <c r="M4" s="40" t="n">
        <v>0</v>
      </c>
      <c r="N4" s="40" t="n">
        <v>0</v>
      </c>
      <c r="O4" s="40" t="n">
        <v>0</v>
      </c>
      <c r="P4" s="41">
        <f>SUM(I4:O4)</f>
        <v/>
      </c>
      <c r="Q4" s="27">
        <f>IF(P4&gt;=30,15,IF(P4&gt;=25,13,IF(P4&gt;=20,11,IF(P4&gt;=16,9,IF(P4&gt;=8,7,5)))))</f>
        <v/>
      </c>
      <c r="R4" s="22" t="n"/>
      <c r="S4" s="28">
        <f>IF(R4="优秀",15,IF(R4="中上",13,IF(R4="中等",11,IF(R4="中下",9,7))))</f>
        <v/>
      </c>
      <c r="T4" s="28">
        <f>IF((IF(VALUE(I4)&gt;0,1,0)+IF(VALUE(J4)&gt;0,1,0)+IF(VALUE(K4)&gt;0,1,0)+IF(VALUE(L4)&gt;0,1,0)+IF(VALUE(M4)&gt;0,1,0)+IF(VALUE(N4)&gt;0,1,0)+IF(VALUE(O4)&gt;0,1,0))*3&gt;20,20,(IF(VALUE(I4)&gt;0,1,0)+IF(VALUE(J4)&gt;0,1,0)+IF(VALUE(K4)&gt;0,1,0)+IF(VALUE(L4)&gt;0,1,0)+IF(VALUE(M4)&gt;0,1,0)+IF(VALUE(N4)&gt;0,1,0)+IF(VALUE(O4)&gt;0,1,0))*3)</f>
        <v/>
      </c>
      <c r="U4" s="22" t="n"/>
      <c r="V4" s="28">
        <f>IF(U4="优秀",10,IF(U4="中上",8,IF(U4="中等",6,IF(U4="中下",5,4))))</f>
        <v/>
      </c>
      <c r="W4" s="29" t="inlineStr">
        <is>
          <t>李冠燃 实际 45 条（功能+性能+接口+安全）</t>
        </is>
      </c>
      <c r="X4" s="42" t="inlineStr">
        <is>
          <t>李冠燃 实际 45 条</t>
        </is>
      </c>
    </row>
    <row r="5">
      <c r="A5" s="31" t="n"/>
      <c r="B5" s="20" t="inlineStr">
        <is>
          <t>李坤纬</t>
        </is>
      </c>
      <c r="C5" s="43" t="n">
        <v>1</v>
      </c>
      <c r="D5" s="22" t="n"/>
      <c r="E5" s="22" t="n"/>
      <c r="F5" s="22" t="n"/>
      <c r="G5" s="39">
        <f>IF(D5="优秀",14,IF(D5="中上",12,IF(D5="中等",10,IF(D5="中下",8,6))))+IF(E5="优秀",13,IF(E5="中上",11,IF(E5="中等",9,IF(E5="中下",7,5))))+IF(F5="优秀",13,IF(F5="中上",12,IF(F5="中等",9,IF(F5="中下",7,5))))</f>
        <v/>
      </c>
      <c r="H5" s="24" t="inlineStr">
        <is>
          <t>是</t>
        </is>
      </c>
      <c r="I5" s="40" t="n">
        <v>41</v>
      </c>
      <c r="J5" s="40" t="n">
        <v>2</v>
      </c>
      <c r="K5" s="40" t="n">
        <v>2</v>
      </c>
      <c r="L5" s="40" t="n">
        <v>2</v>
      </c>
      <c r="M5" s="40" t="n">
        <v>0</v>
      </c>
      <c r="N5" s="40" t="n">
        <v>0</v>
      </c>
      <c r="O5" s="40" t="n">
        <v>0</v>
      </c>
      <c r="P5" s="41">
        <f>SUM(I5:O5)</f>
        <v/>
      </c>
      <c r="Q5" s="27">
        <f>IF(P5&gt;=30,15,IF(P5&gt;=25,13,IF(P5&gt;=20,11,IF(P5&gt;=16,9,IF(P5&gt;=8,7,5)))))</f>
        <v/>
      </c>
      <c r="R5" s="22" t="n"/>
      <c r="S5" s="28">
        <f>IF(R5="优秀",15,IF(R5="中上",13,IF(R5="中等",11,IF(R5="中下",9,7))))</f>
        <v/>
      </c>
      <c r="T5" s="28">
        <f>IF((IF(VALUE(I5)&gt;0,1,0)+IF(VALUE(J5)&gt;0,1,0)+IF(VALUE(K5)&gt;0,1,0)+IF(VALUE(L5)&gt;0,1,0)+IF(VALUE(M5)&gt;0,1,0)+IF(VALUE(N5)&gt;0,1,0)+IF(VALUE(O5)&gt;0,1,0))*3&gt;20,20,(IF(VALUE(I5)&gt;0,1,0)+IF(VALUE(J5)&gt;0,1,0)+IF(VALUE(K5)&gt;0,1,0)+IF(VALUE(L5)&gt;0,1,0)+IF(VALUE(M5)&gt;0,1,0)+IF(VALUE(N5)&gt;0,1,0)+IF(VALUE(O5)&gt;0,1,0))*3)</f>
        <v/>
      </c>
      <c r="U5" s="22" t="n"/>
      <c r="V5" s="28">
        <f>IF(U5="优秀",10,IF(U5="中上",8,IF(U5="中等",6,IF(U5="中下",5,4))))</f>
        <v/>
      </c>
      <c r="W5" s="29" t="inlineStr">
        <is>
          <t>李坤纬 实际 34 条（功能+性能+接口+安全）</t>
        </is>
      </c>
      <c r="X5" s="42" t="inlineStr">
        <is>
          <t>李坤纬 实际 47 条</t>
        </is>
      </c>
    </row>
    <row r="6">
      <c r="A6" s="31" t="n"/>
      <c r="B6" s="20" t="inlineStr">
        <is>
          <t>林景彬</t>
        </is>
      </c>
      <c r="C6" s="43" t="n">
        <v>1</v>
      </c>
      <c r="D6" s="22" t="n"/>
      <c r="E6" s="22" t="n"/>
      <c r="F6" s="22" t="n"/>
      <c r="G6" s="39">
        <f>IF(D6="优秀",14,IF(D6="中上",12,IF(D6="中等",10,IF(D6="中下",8,6))))+IF(E6="优秀",13,IF(E6="中上",11,IF(E6="中等",9,IF(E6="中下",7,5))))+IF(F6="优秀",13,IF(F6="中上",12,IF(F6="中等",9,IF(F6="中下",7,5))))</f>
        <v/>
      </c>
      <c r="H6" s="24" t="inlineStr">
        <is>
          <t>是</t>
        </is>
      </c>
      <c r="I6" s="40" t="n">
        <v>18</v>
      </c>
      <c r="J6" s="40" t="n">
        <v>2</v>
      </c>
      <c r="K6" s="40" t="n">
        <v>1</v>
      </c>
      <c r="L6" s="40" t="n">
        <v>3</v>
      </c>
      <c r="M6" s="40" t="n">
        <v>0</v>
      </c>
      <c r="N6" s="40" t="n">
        <v>0</v>
      </c>
      <c r="O6" s="40" t="n">
        <v>0</v>
      </c>
      <c r="P6" s="41">
        <f>SUM(I6:O6)</f>
        <v/>
      </c>
      <c r="Q6" s="27">
        <f>IF(P6&gt;=30,15,IF(P6&gt;=25,13,IF(P6&gt;=20,11,IF(P6&gt;=16,9,IF(P6&gt;=8,7,5)))))</f>
        <v/>
      </c>
      <c r="R6" s="22" t="n"/>
      <c r="S6" s="28">
        <f>IF(R6="优秀",15,IF(R6="中上",13,IF(R6="中等",11,IF(R6="中下",9,7))))</f>
        <v/>
      </c>
      <c r="T6" s="28">
        <f>IF((IF(VALUE(I6)&gt;0,1,0)+IF(VALUE(J6)&gt;0,1,0)+IF(VALUE(K6)&gt;0,1,0)+IF(VALUE(L6)&gt;0,1,0)+IF(VALUE(M6)&gt;0,1,0)+IF(VALUE(N6)&gt;0,1,0)+IF(VALUE(O6)&gt;0,1,0))*3&gt;20,20,(IF(VALUE(I6)&gt;0,1,0)+IF(VALUE(J6)&gt;0,1,0)+IF(VALUE(K6)&gt;0,1,0)+IF(VALUE(L6)&gt;0,1,0)+IF(VALUE(M6)&gt;0,1,0)+IF(VALUE(N6)&gt;0,1,0)+IF(VALUE(O6)&gt;0,1,0))*3)</f>
        <v/>
      </c>
      <c r="U6" s="22" t="n"/>
      <c r="V6" s="28">
        <f>IF(U6="优秀",10,IF(U6="中上",8,IF(U6="中等",6,IF(U6="中下",5,4))))</f>
        <v/>
      </c>
      <c r="W6" s="29" t="inlineStr">
        <is>
          <t>林景彬 实际 25 条（功能+性能+接口+安全）</t>
        </is>
      </c>
      <c r="X6" s="42" t="inlineStr">
        <is>
          <t>林景彬 实际 24 条</t>
        </is>
      </c>
    </row>
    <row r="7">
      <c r="A7" s="31" t="n"/>
      <c r="B7" s="20" t="n"/>
      <c r="C7" s="20" t="n"/>
      <c r="D7" s="22" t="n"/>
      <c r="E7" s="22" t="n"/>
      <c r="F7" s="22" t="n"/>
      <c r="G7" s="39" t="n"/>
      <c r="H7" s="24" t="n"/>
      <c r="I7" s="40" t="n"/>
      <c r="J7" s="40" t="n"/>
      <c r="K7" s="40" t="n"/>
      <c r="L7" s="40" t="n"/>
      <c r="M7" s="40" t="n"/>
      <c r="N7" s="40" t="n"/>
      <c r="O7" s="40" t="n"/>
      <c r="P7" s="41" t="n"/>
      <c r="Q7" s="27" t="n"/>
      <c r="R7" s="22" t="n"/>
      <c r="S7" s="28" t="n"/>
      <c r="T7" s="28" t="n"/>
      <c r="U7" s="22" t="n"/>
      <c r="V7" s="28" t="n"/>
      <c r="W7" s="29" t="n"/>
      <c r="X7" s="42" t="n"/>
    </row>
    <row r="8">
      <c r="A8" s="31" t="n"/>
      <c r="B8" s="20" t="n"/>
      <c r="C8" s="20" t="n"/>
      <c r="D8" s="22" t="n"/>
      <c r="E8" s="22" t="n"/>
      <c r="F8" s="22" t="n"/>
      <c r="G8" s="39" t="n"/>
      <c r="H8" s="24" t="n"/>
      <c r="I8" s="40" t="n"/>
      <c r="J8" s="40" t="n"/>
      <c r="K8" s="40" t="n"/>
      <c r="L8" s="40" t="n"/>
      <c r="M8" s="40" t="n"/>
      <c r="N8" s="40" t="n"/>
      <c r="O8" s="40" t="n"/>
      <c r="P8" s="41" t="n"/>
      <c r="Q8" s="27" t="n"/>
      <c r="R8" s="22" t="n"/>
      <c r="S8" s="28" t="n"/>
      <c r="T8" s="28" t="n"/>
      <c r="U8" s="22" t="n"/>
      <c r="V8" s="28" t="n"/>
      <c r="W8" s="29" t="n"/>
      <c r="X8" s="42" t="n"/>
    </row>
    <row r="9">
      <c r="A9" s="31" t="n"/>
      <c r="B9" s="20" t="n"/>
      <c r="C9" s="20" t="n"/>
      <c r="D9" s="22" t="n"/>
      <c r="E9" s="22" t="n"/>
      <c r="F9" s="22" t="n"/>
      <c r="G9" s="39" t="n"/>
      <c r="H9" s="24" t="n"/>
      <c r="I9" s="40" t="n"/>
      <c r="J9" s="40" t="n"/>
      <c r="K9" s="40" t="n"/>
      <c r="L9" s="40" t="n"/>
      <c r="M9" s="40" t="n"/>
      <c r="N9" s="40" t="n"/>
      <c r="O9" s="40" t="n"/>
      <c r="P9" s="41" t="n"/>
      <c r="Q9" s="27" t="n"/>
      <c r="R9" s="22" t="n"/>
      <c r="S9" s="28" t="n"/>
      <c r="T9" s="28" t="n"/>
      <c r="U9" s="22" t="n"/>
      <c r="V9" s="28" t="n"/>
      <c r="W9" s="29" t="n"/>
      <c r="X9" s="42" t="n"/>
    </row>
    <row r="10"/>
    <row r="11"/>
    <row r="12"/>
    <row r="13">
      <c r="G13" s="40" t="n"/>
      <c r="H13" s="33" t="inlineStr">
        <is>
          <t>黄色区域为组长填写区域，其余部分由老师填写</t>
        </is>
      </c>
    </row>
    <row r="14">
      <c r="G14" s="34" t="n"/>
      <c r="H14" s="35" t="inlineStr">
        <is>
          <t>淡紫色区域空着，由老师填写</t>
        </is>
      </c>
      <c r="W14" s="35" t="n"/>
      <c r="X14" s="35" t="n"/>
    </row>
  </sheetData>
  <mergeCells count="17">
    <mergeCell ref="W1:W2"/>
    <mergeCell ref="U1:U2"/>
    <mergeCell ref="X1:X2"/>
    <mergeCell ref="I1:O1"/>
    <mergeCell ref="S1:S2"/>
    <mergeCell ref="H14:V14"/>
    <mergeCell ref="C1:C2"/>
    <mergeCell ref="B1:B2"/>
    <mergeCell ref="G1:G2"/>
    <mergeCell ref="V1:V2"/>
    <mergeCell ref="R1:R2"/>
    <mergeCell ref="H1:H2"/>
    <mergeCell ref="A1:A2"/>
    <mergeCell ref="D1:F1"/>
    <mergeCell ref="P1:P2"/>
    <mergeCell ref="T1:T2"/>
    <mergeCell ref="Q1:Q2"/>
  </mergeCells>
  <conditionalFormatting sqref="X1:X10">
    <cfRule type="cellIs" priority="4" operator="greaterThan" dxfId="0">
      <formula>98</formula>
    </cfRule>
  </conditionalFormatting>
  <conditionalFormatting sqref="B1:C1 B2">
    <cfRule type="duplicateValues" priority="3" dxfId="0"/>
    <cfRule type="duplicateValues" priority="5" dxfId="0"/>
  </conditionalFormatting>
  <dataValidations count="2">
    <dataValidation sqref="H3:H10" showDropDown="0" showInputMessage="1" showErrorMessage="1" allowBlank="1" type="list">
      <formula1>"是,否"</formula1>
    </dataValidation>
    <dataValidation sqref="D3:F10 R3:R10 U3:U10" showDropDown="0" showInputMessage="1" showErrorMessage="1" allowBlank="1" type="list">
      <formula1>"差,中下,中等,中上,优秀"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2023-06-11T14:00:00Z</dcterms:created>
  <dcterms:modified xsi:type="dcterms:W3CDTF">2026-07-01T13:38:06Z</dcterms:modified>
  <cp:lastModifiedBy>WPS_1644490907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002C777625094CCA84BF6B78A7291F28_13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